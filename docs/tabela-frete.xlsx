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\Desktop\"/>
    </mc:Choice>
  </mc:AlternateContent>
  <xr:revisionPtr revIDLastSave="0" documentId="13_ncr:1_{45355CAF-D399-4B51-BD5A-F1867D899330}" xr6:coauthVersionLast="47" xr6:coauthVersionMax="47" xr10:uidLastSave="{00000000-0000-0000-0000-000000000000}"/>
  <bookViews>
    <workbookView xWindow="-120" yWindow="-120" windowWidth="20730" windowHeight="11040" xr2:uid="{52E24C00-DDDC-4A93-B911-8D8753563D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J11" i="1"/>
  <c r="G11" i="1"/>
  <c r="F11" i="1"/>
</calcChain>
</file>

<file path=xl/sharedStrings.xml><?xml version="1.0" encoding="utf-8"?>
<sst xmlns="http://schemas.openxmlformats.org/spreadsheetml/2006/main" count="29" uniqueCount="24">
  <si>
    <t>Origem</t>
  </si>
  <si>
    <t>Destino</t>
  </si>
  <si>
    <t>0 a 30 kg</t>
  </si>
  <si>
    <t>31 a 50 kg</t>
  </si>
  <si>
    <t>51 a 70 kg</t>
  </si>
  <si>
    <t>71 a 100 kg</t>
  </si>
  <si>
    <t>07115-070</t>
  </si>
  <si>
    <t>15500-700</t>
  </si>
  <si>
    <t>Acima de 101 Kg - R$/KG</t>
  </si>
  <si>
    <t>Taxa Despacho</t>
  </si>
  <si>
    <t>SEGURO (%)</t>
  </si>
  <si>
    <t>GRIS (%)</t>
  </si>
  <si>
    <t>Pedágio (R$ 100kg ou Fração)</t>
  </si>
  <si>
    <t>ICMS</t>
  </si>
  <si>
    <t>Prazo Entrega (Dias uteis)</t>
  </si>
  <si>
    <t>Modelo 1</t>
  </si>
  <si>
    <t>Modelo 2</t>
  </si>
  <si>
    <t>Guarulhos/SP</t>
  </si>
  <si>
    <t>Recife/PE</t>
  </si>
  <si>
    <t>Calculo Frete</t>
  </si>
  <si>
    <t>EXEMPLO (TRANSPORTADO QUE PREENCHE ESSES DADOS</t>
  </si>
  <si>
    <t>Valor NF</t>
  </si>
  <si>
    <t>&lt;&lt;&lt;&lt; Pode Mudar o peso .</t>
  </si>
  <si>
    <t xml:space="preserve"> Pode alterar o valor da NF&gt;&gt;&gt;&gt;&gt;&gt;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</si>
</sst>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4" fontId="0" fillId="2" borderId="8" xfId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4" fontId="0" fillId="3" borderId="8" xfId="0" applyNumberFormat="1" applyFill="1" applyBorder="1" applyAlignment="1">
      <alignment horizontal="center" vertical="center" wrapText="1"/>
    </xf>
    <xf numFmtId="44" fontId="0" fillId="3" borderId="9" xfId="0" applyNumberForma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44" fontId="3" fillId="3" borderId="8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2" fillId="0" borderId="0" xfId="0" applyFont="1" applyAlignment="1">
      <alignment horizontal="left"/>
    </xf>
    <xf numFmtId="0" fontId="0" fillId="2" borderId="0" xfId="0" applyFill="1" applyBorder="1" applyAlignment="1">
      <alignment horizontal="center"/>
    </xf>
    <xf numFmtId="44" fontId="0" fillId="2" borderId="0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EFE0-2583-47D9-8358-F20DF07EE02E}">
  <dimension ref="A3:O11"/>
  <sheetViews>
    <sheetView tabSelected="1" workbookViewId="0">
      <selection activeCell="E12" sqref="E12"/>
    </sheetView>
  </sheetViews>
  <sheetFormatPr defaultRowHeight="15" x14ac:dyDescent="0.25"/>
  <cols>
    <col min="1" max="1" width="11.140625" style="1" customWidth="1"/>
    <col min="2" max="2" width="12.7109375" style="1" customWidth="1"/>
    <col min="3" max="3" width="13.140625" style="1" bestFit="1" customWidth="1"/>
    <col min="4" max="4" width="9.7109375" style="1" bestFit="1" customWidth="1"/>
    <col min="5" max="5" width="11.5703125" style="1" bestFit="1" customWidth="1"/>
    <col min="6" max="6" width="9.5703125" style="1" bestFit="1" customWidth="1"/>
    <col min="7" max="7" width="10.5703125" style="1" bestFit="1" customWidth="1"/>
    <col min="8" max="8" width="14.28515625" style="1" bestFit="1" customWidth="1"/>
    <col min="9" max="9" width="10.5703125" style="1" customWidth="1"/>
    <col min="10" max="10" width="13" style="1" customWidth="1"/>
    <col min="11" max="11" width="10.140625" style="1" customWidth="1"/>
    <col min="12" max="13" width="9.140625" style="1"/>
    <col min="14" max="14" width="10.5703125" style="1" customWidth="1"/>
    <col min="15" max="16384" width="9.140625" style="1"/>
  </cols>
  <sheetData>
    <row r="3" spans="1:15" x14ac:dyDescent="0.25">
      <c r="J3" s="1">
        <v>300</v>
      </c>
      <c r="K3" s="29" t="s">
        <v>22</v>
      </c>
      <c r="L3" s="29"/>
      <c r="M3" s="29"/>
      <c r="N3" s="29"/>
    </row>
    <row r="4" spans="1:15" ht="15.75" thickBot="1" x14ac:dyDescent="0.3"/>
    <row r="5" spans="1:15" s="4" customFormat="1" ht="57.75" customHeight="1" x14ac:dyDescent="0.25">
      <c r="A5" s="8" t="s">
        <v>20</v>
      </c>
      <c r="B5" s="9"/>
      <c r="C5" s="10" t="s">
        <v>0</v>
      </c>
      <c r="D5" s="10" t="s">
        <v>1</v>
      </c>
      <c r="E5" s="10" t="s">
        <v>14</v>
      </c>
      <c r="F5" s="10" t="s">
        <v>2</v>
      </c>
      <c r="G5" s="10" t="s">
        <v>3</v>
      </c>
      <c r="H5" s="10" t="s">
        <v>4</v>
      </c>
      <c r="I5" s="10" t="s">
        <v>5</v>
      </c>
      <c r="J5" s="10" t="s">
        <v>8</v>
      </c>
      <c r="K5" s="10" t="s">
        <v>9</v>
      </c>
      <c r="L5" s="10" t="s">
        <v>11</v>
      </c>
      <c r="M5" s="10" t="s">
        <v>10</v>
      </c>
      <c r="N5" s="10" t="s">
        <v>12</v>
      </c>
      <c r="O5" s="11" t="s">
        <v>13</v>
      </c>
    </row>
    <row r="6" spans="1:15" x14ac:dyDescent="0.25">
      <c r="A6" s="12" t="s">
        <v>15</v>
      </c>
      <c r="B6" s="5"/>
      <c r="C6" s="6" t="s">
        <v>6</v>
      </c>
      <c r="D6" s="6" t="s">
        <v>7</v>
      </c>
      <c r="E6" s="6">
        <v>5</v>
      </c>
      <c r="F6" s="7">
        <v>25.5</v>
      </c>
      <c r="G6" s="7">
        <v>45.5</v>
      </c>
      <c r="H6" s="7">
        <v>83</v>
      </c>
      <c r="I6" s="7">
        <v>112.5</v>
      </c>
      <c r="J6" s="7">
        <v>1.1200000000000001</v>
      </c>
      <c r="K6" s="6">
        <v>22.5</v>
      </c>
      <c r="L6" s="6">
        <v>0.5</v>
      </c>
      <c r="M6" s="6">
        <v>0.3</v>
      </c>
      <c r="N6" s="6">
        <v>2.5</v>
      </c>
      <c r="O6" s="13">
        <v>7</v>
      </c>
    </row>
    <row r="7" spans="1:15" ht="15.75" thickBot="1" x14ac:dyDescent="0.3">
      <c r="A7" s="14" t="s">
        <v>16</v>
      </c>
      <c r="B7" s="15"/>
      <c r="C7" s="16" t="s">
        <v>17</v>
      </c>
      <c r="D7" s="16" t="s">
        <v>18</v>
      </c>
      <c r="E7" s="16">
        <v>5</v>
      </c>
      <c r="F7" s="17">
        <v>25.5</v>
      </c>
      <c r="G7" s="17">
        <v>45.5</v>
      </c>
      <c r="H7" s="17">
        <v>83</v>
      </c>
      <c r="I7" s="17">
        <v>112.5</v>
      </c>
      <c r="J7" s="17">
        <v>1.1200000000000001</v>
      </c>
      <c r="K7" s="16">
        <v>22.5</v>
      </c>
      <c r="L7" s="16">
        <v>0.5</v>
      </c>
      <c r="M7" s="16">
        <v>0.3</v>
      </c>
      <c r="N7" s="16">
        <v>2.5</v>
      </c>
      <c r="O7" s="18">
        <v>7</v>
      </c>
    </row>
    <row r="8" spans="1:15" x14ac:dyDescent="0.25">
      <c r="A8" s="30"/>
      <c r="B8" s="30"/>
      <c r="C8" s="30"/>
      <c r="D8" s="30"/>
      <c r="E8" s="30"/>
      <c r="F8" s="31"/>
      <c r="G8" s="31"/>
      <c r="H8" s="31"/>
      <c r="I8" s="31"/>
      <c r="J8" s="31"/>
      <c r="K8" s="30"/>
      <c r="L8" s="30"/>
      <c r="M8" s="30"/>
      <c r="N8" s="30"/>
      <c r="O8" s="30"/>
    </row>
    <row r="9" spans="1:15" ht="15.75" thickBot="1" x14ac:dyDescent="0.3"/>
    <row r="10" spans="1:15" s="2" customFormat="1" ht="42" customHeight="1" x14ac:dyDescent="0.25">
      <c r="C10" s="3"/>
      <c r="D10" s="23" t="s">
        <v>19</v>
      </c>
      <c r="E10" s="24"/>
      <c r="F10" s="19" t="s">
        <v>2</v>
      </c>
      <c r="G10" s="19" t="s">
        <v>3</v>
      </c>
      <c r="H10" s="19" t="s">
        <v>4</v>
      </c>
      <c r="I10" s="19" t="s">
        <v>5</v>
      </c>
      <c r="J10" s="20" t="s">
        <v>8</v>
      </c>
    </row>
    <row r="11" spans="1:15" s="3" customFormat="1" ht="41.25" customHeight="1" thickBot="1" x14ac:dyDescent="0.3">
      <c r="A11" s="27" t="s">
        <v>23</v>
      </c>
      <c r="B11" s="27"/>
      <c r="C11" s="28"/>
      <c r="D11" s="25" t="s">
        <v>21</v>
      </c>
      <c r="E11" s="26">
        <v>1000</v>
      </c>
      <c r="F11" s="21">
        <f>((F6+K6+N6)+(E11*L6%+E11*M6%))/0.93</f>
        <v>62.903225806451609</v>
      </c>
      <c r="G11" s="21">
        <f>((G6+N6+K6)+(E11*L6%+E11*M6%)/0.93)</f>
        <v>79.102150537634401</v>
      </c>
      <c r="H11" s="21">
        <f>((H6+K6+N6)+(E11*L6%+E11*M6%))/0.93</f>
        <v>124.73118279569891</v>
      </c>
      <c r="I11" s="21">
        <f>((I6+K6+N6)+(E11*L6%+E11*M6%))/0.93</f>
        <v>156.45161290322579</v>
      </c>
      <c r="J11" s="22">
        <f>((J6*J3)+(K6+N6)+E11*L6%+E11*M6%)/0.93</f>
        <v>396.77419354838713</v>
      </c>
    </row>
  </sheetData>
  <mergeCells count="6">
    <mergeCell ref="A6:B6"/>
    <mergeCell ref="A7:B7"/>
    <mergeCell ref="D10:E10"/>
    <mergeCell ref="A5:B5"/>
    <mergeCell ref="K3:N3"/>
    <mergeCell ref="A11:C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Alexandre</cp:lastModifiedBy>
  <dcterms:created xsi:type="dcterms:W3CDTF">2026-02-18T11:36:50Z</dcterms:created>
  <dcterms:modified xsi:type="dcterms:W3CDTF">2026-02-18T11:57:37Z</dcterms:modified>
</cp:coreProperties>
</file>